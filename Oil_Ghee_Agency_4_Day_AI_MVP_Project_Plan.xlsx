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d48099e38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VP Overview" sheetId="1" r:id="R1386b750755c4faa"/>
    <x:sheet xmlns:r="http://schemas.openxmlformats.org/officeDocument/2006/relationships" name="4-Day Task Plan" sheetId="2" r:id="R8aa7a280eea942a1"/>
    <x:sheet xmlns:r="http://schemas.openxmlformats.org/officeDocument/2006/relationships" name="MVP Scope" sheetId="3" r:id="Rdd93b866d8884790"/>
    <x:sheet xmlns:r="http://schemas.openxmlformats.org/officeDocument/2006/relationships" name="After MVP" sheetId="4" r:id="Ra3a2a1da179a4fb9"/>
    <x:sheet xmlns:r="http://schemas.openxmlformats.org/officeDocument/2006/relationships" name="Lists" sheetId="5" r:id="R7cb58247b69448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3">
    <x:font>
      <x:sz val="11"/>
      <x:name val="Carlito"/>
    </x:font>
    <x:font>
      <x:b/>
      <x:sz val="11"/>
      <x:color rgb="FF111827"/>
      <x:name val="Carlito"/>
    </x:font>
    <x:font>
      <x:b/>
      <x:sz val="16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de3e805a954a63" /><Relationship Type="http://schemas.openxmlformats.org/officeDocument/2006/relationships/theme" Target="/xl/theme/theme1.xml" Id="R9071bd92568a49ec" /><Relationship Type="http://schemas.openxmlformats.org/officeDocument/2006/relationships/sharedStrings" Target="/xl/sharedStrings.xml" Id="Rf399e38ac8394fe1" /><Relationship Type="http://schemas.openxmlformats.org/officeDocument/2006/relationships/worksheet" Target="/xl/worksheets/sheet1.xml" Id="R1386b750755c4faa" /><Relationship Type="http://schemas.openxmlformats.org/officeDocument/2006/relationships/worksheet" Target="/xl/worksheets/sheet2.xml" Id="R8aa7a280eea942a1" /><Relationship Type="http://schemas.openxmlformats.org/officeDocument/2006/relationships/worksheet" Target="/xl/worksheets/sheet3.xml" Id="Rdd93b866d8884790" /><Relationship Type="http://schemas.openxmlformats.org/officeDocument/2006/relationships/worksheet" Target="/xl/worksheets/sheet4.xml" Id="Ra3a2a1da179a4fb9" /><Relationship Type="http://schemas.openxmlformats.org/officeDocument/2006/relationships/worksheet" Target="/xl/worksheets/sheet5.xml" Id="R7cb58247b6944860" /></Relationships>
</file>

<file path=xl/tables/table1.xml><?xml version="1.0" encoding="utf-8"?>
<x:table xmlns:x="http://schemas.openxmlformats.org/spreadsheetml/2006/main" id="1" name="FourDayTasks" displayName="FourDayTasks" ref="A1:M26" headerRowCount="1">
  <x:tableColumns count="13">
    <x:tableColumn id="1" name="Task ID"/>
    <x:tableColumn id="2" name="Day"/>
    <x:tableColumn id="3" name="Module"/>
    <x:tableColumn id="4" name="Task Details"/>
    <x:tableColumn id="5" name="Execution"/>
    <x:tableColumn id="6" name="Priority"/>
    <x:tableColumn id="7" name="Status"/>
    <x:tableColumn id="8" name="Start Date"/>
    <x:tableColumn id="9" name="Due Date"/>
    <x:tableColumn id="10" name="Est. Hours"/>
    <x:tableColumn id="11" name="Progress %"/>
    <x:tableColumn id="12" name="Deliverable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VPScope" displayName="MVPScope" ref="A1:C19" headerRowCount="1">
  <x:tableColumns count="3">
    <x:tableColumn id="1" name="Module"/>
    <x:tableColumn id="2" name="Included in 4-Day MVP"/>
    <x:tableColumn id="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fterMVP" displayName="AfterMVP" ref="A1:C9" headerRowCount="1">
  <x:tableColumns count="3">
    <x:tableColumn id="1" name="Priority"/>
    <x:tableColumn id="2" name="Feature"/>
    <x:tableColumn id="3" name="Recommended Tim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b01b31e9b943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7e804b83174f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52567395ec483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4" max="4" width="14" hidden="0" customWidth="1"/>
    <x:col min="5" max="5" width="38" hidden="0" customWidth="1"/>
    <x:col min="6" max="6" width="13" hidden="0" customWidth="1"/>
    <x:col min="7" max="7" width="15" hidden="0" customWidth="1"/>
    <x:col min="8" max="8" width="28" hidden="0" customWidth="1"/>
  </x:cols>
  <x:sheetData>
    <x:row r="1">
      <x:c r="A1" s="22" t="str">
        <x:v>Cooking Oil &amp; Ghee Agency Software — 4-Day AI-Assisted MVP</x:v>
      </x:c>
      <x:c r="B1" s="22"/>
      <x:c r="C1" s="22"/>
      <x:c r="D1" s="22"/>
      <x:c r="E1" s="22"/>
      <x:c r="F1" s="22"/>
      <x:c r="G1" s="22"/>
      <x:c r="H1" s="22"/>
    </x:row>
    <x:row r="2">
      <x:c r="A2" s="23"/>
      <x:c r="B2" s="23"/>
      <x:c r="C2" s="23"/>
      <x:c r="D2" s="23"/>
      <x:c r="E2" s="23"/>
      <x:c r="F2" s="23"/>
      <x:c r="G2" s="23"/>
      <x:c r="H2" s="23"/>
    </x:row>
    <x:row r="3">
      <x:c r="A3" s="6" t="str">
        <x:v>Project Field</x:v>
      </x:c>
      <x:c r="B3" s="6" t="str">
        <x:v>Value</x:v>
      </x:c>
      <x:c r="C3" s="23"/>
      <x:c r="D3" s="6" t="str">
        <x:v>Day</x:v>
      </x:c>
      <x:c r="E3" s="6" t="str">
        <x:v>Goal</x:v>
      </x:c>
      <x:c r="F3" s="6" t="str">
        <x:v>Task Count</x:v>
      </x:c>
      <x:c r="G3" s="6" t="str">
        <x:v>Completion %</x:v>
      </x:c>
      <x:c r="H3" s="6" t="str">
        <x:v>Release Gate</x:v>
      </x:c>
    </x:row>
    <x:row r="4">
      <x:c r="A4" s="23" t="str">
        <x:v>Start Date</x:v>
      </x:c>
      <x:c r="B4" s="24" t="n">
        <x:v>46220</x:v>
      </x:c>
      <x:c r="C4" s="23"/>
      <x:c r="D4" s="23" t="str">
        <x:v>Day 1</x:v>
      </x:c>
      <x:c r="E4" s="23" t="str">
        <x:v>Foundation, auth and products</x:v>
      </x:c>
      <x:c r="F4" s="23" t="n">
        <x:f>COUNTIF('4-Day Task Plan'!$B$2:$B$100,D4)</x:f>
        <x:v>6</x:v>
      </x:c>
      <x:c r="G4" s="25" t="n">
        <x:f>IF(F4=0,0,AVERAGEIF('4-Day Task Plan'!$B$2:$B$100,D4,'4-Day Task Plan'!$K$2:$K$100))</x:f>
        <x:v>0</x:v>
      </x:c>
      <x:c r="H4" s="23" t="str">
        <x:v>App shell + product CRUD</x:v>
      </x:c>
    </x:row>
    <x:row r="5">
      <x:c r="A5" s="23" t="str">
        <x:v>Target MVP Date</x:v>
      </x:c>
      <x:c r="B5" s="24" t="n">
        <x:v>46223</x:v>
      </x:c>
      <x:c r="C5" s="23"/>
      <x:c r="D5" s="23" t="str">
        <x:v>Day 2</x:v>
      </x:c>
      <x:c r="E5" s="23" t="str">
        <x:v>Inventory, purchases and parties</x:v>
      </x:c>
      <x:c r="F5" s="23" t="n">
        <x:f>COUNTIF('4-Day Task Plan'!$B$2:$B$100,D5)</x:f>
        <x:v>6</x:v>
      </x:c>
      <x:c r="G5" s="25" t="n">
        <x:f>IF(F5=0,0,AVERAGEIF('4-Day Task Plan'!$B$2:$B$100,D5,'4-Day Task Plan'!$K$2:$K$100))</x:f>
        <x:v>0</x:v>
      </x:c>
      <x:c r="H5" s="23" t="str">
        <x:v>Stock updates from purchase</x:v>
      </x:c>
    </x:row>
    <x:row r="6">
      <x:c r="A6" s="23" t="str">
        <x:v>Total Tasks</x:v>
      </x:c>
      <x:c r="B6" s="23" t="n">
        <x:f>COUNTA('4-Day Task Plan'!A2:A100)</x:f>
        <x:v>25</x:v>
      </x:c>
      <x:c r="C6" s="23"/>
      <x:c r="D6" s="23" t="str">
        <x:v>Day 3</x:v>
      </x:c>
      <x:c r="E6" s="23" t="str">
        <x:v>POS, khata and invoice</x:v>
      </x:c>
      <x:c r="F6" s="23" t="n">
        <x:f>COUNTIF('4-Day Task Plan'!$B$2:$B$100,D6)</x:f>
        <x:v>6</x:v>
      </x:c>
      <x:c r="G6" s="25" t="n">
        <x:f>IF(F6=0,0,AVERAGEIF('4-Day Task Plan'!$B$2:$B$100,D6,'4-Day Task Plan'!$K$2:$K$100))</x:f>
        <x:v>0</x:v>
      </x:c>
      <x:c r="H6" s="23" t="str">
        <x:v>Cash/credit sale works</x:v>
      </x:c>
    </x:row>
    <x:row r="7">
      <x:c r="A7" s="23" t="str">
        <x:v>Completed</x:v>
      </x:c>
      <x:c r="B7" s="23" t="n">
        <x:f>COUNTIF('4-Day Task Plan'!G2:G100,"Completed")</x:f>
        <x:v>0</x:v>
      </x:c>
      <x:c r="C7" s="23"/>
      <x:c r="D7" s="23" t="str">
        <x:v>Day 4</x:v>
      </x:c>
      <x:c r="E7" s="23" t="str">
        <x:v>Returns, cashbook, reports and QA</x:v>
      </x:c>
      <x:c r="F7" s="23" t="n">
        <x:f>COUNTIF('4-Day Task Plan'!$B$2:$B$100,D7)</x:f>
        <x:v>7</x:v>
      </x:c>
      <x:c r="G7" s="25" t="n">
        <x:f>IF(F7=0,0,AVERAGEIF('4-Day Task Plan'!$B$2:$B$100,D7,'4-Day Task Plan'!$K$2:$K$100))</x:f>
        <x:v>0</x:v>
      </x:c>
      <x:c r="H7" s="23" t="str">
        <x:v>Complete demo workflow</x:v>
      </x:c>
    </x:row>
    <x:row r="8">
      <x:c r="A8" s="23" t="str">
        <x:v>In Progress</x:v>
      </x:c>
      <x:c r="B8" s="23" t="n">
        <x:f>COUNTIF('4-Day Task Plan'!G2:G100,"In Progress")</x:f>
        <x:v>0</x:v>
      </x:c>
      <x:c r="C8" s="23"/>
      <x:c r="D8" s="23"/>
      <x:c r="E8" s="23"/>
      <x:c r="F8" s="23"/>
      <x:c r="G8" s="23"/>
      <x:c r="H8" s="23"/>
    </x:row>
    <x:row r="9">
      <x:c r="A9" s="23" t="str">
        <x:v>Blocked</x:v>
      </x:c>
      <x:c r="B9" s="23" t="n">
        <x:f>COUNTIF('4-Day Task Plan'!G2:G100,"Blocked")</x:f>
        <x:v>0</x:v>
      </x:c>
      <x:c r="C9" s="23"/>
      <x:c r="D9" s="6" t="str">
        <x:v>Hard rule for 4-day delivery</x:v>
      </x:c>
      <x:c r="E9" s="6"/>
      <x:c r="F9" s="6"/>
      <x:c r="G9" s="6"/>
      <x:c r="H9" s="6"/>
    </x:row>
    <x:row r="10">
      <x:c r="A10" s="23" t="str">
        <x:v>Overall Progress</x:v>
      </x:c>
      <x:c r="B10" s="25" t="n">
        <x:f>IF(B6=0,0,AVERAGE('4-Day Task Plan'!K2:K100))</x:f>
        <x:v>0</x:v>
      </x:c>
      <x:c r="C10" s="23"/>
      <x:c r="D10" s="23" t="str">
        <x:v>Do not build full accounting, cloud sync or FBR inside these four days.</x:v>
      </x:c>
      <x:c r="E10" s="23"/>
      <x:c r="F10" s="23"/>
      <x:c r="G10" s="23"/>
      <x:c r="H10" s="23"/>
    </x:row>
    <x:row r="11">
      <x:c r="A11" s="23"/>
      <x:c r="B11" s="23"/>
      <x:c r="C11" s="23"/>
      <x:c r="D11" s="23" t="str">
        <x:v>Use AI for schema, CRUD scaffolding, UI components, tests and seed data.</x:v>
      </x:c>
      <x:c r="E11" s="23"/>
      <x:c r="F11" s="23"/>
      <x:c r="G11" s="23"/>
      <x:c r="H11" s="23"/>
    </x:row>
    <x:row r="12">
      <x:c r="A12" s="23"/>
      <x:c r="B12" s="23"/>
      <x:c r="C12" s="23"/>
      <x:c r="D12" s="23" t="str">
        <x:v>Developer must manually verify stock, khata and payment calculations.</x:v>
      </x:c>
      <x:c r="E12" s="23"/>
      <x:c r="F12" s="23"/>
      <x:c r="G12" s="23"/>
      <x:c r="H12" s="23"/>
    </x:row>
    <x:row r="13">
      <x:c r="A13" s="23"/>
      <x:c r="B13" s="23"/>
      <x:c r="C13" s="23"/>
      <x:c r="D13" s="23" t="str">
        <x:v>Use one agency, one computer and one database for the first pilot.</x:v>
      </x:c>
      <x:c r="E13" s="23"/>
      <x:c r="F13" s="23"/>
      <x:c r="G13" s="23"/>
      <x:c r="H13" s="23"/>
    </x:row>
    <x:row r="14">
      <x:c r="A14" s="23"/>
      <x:c r="B14" s="23"/>
      <x:c r="C14" s="23"/>
      <x:c r="D14" s="23" t="str">
        <x:v>A demo-ready MVP is possible; a polished market-ready ERP is not.</x:v>
      </x:c>
      <x:c r="E14" s="23"/>
      <x:c r="F14" s="23"/>
      <x:c r="G14" s="23"/>
      <x:c r="H14" s="23"/>
    </x:row>
  </x:sheetData>
  <x:mergeCells>
    <x:mergeCell ref="A1:H1"/>
    <x:mergeCell ref="D9:H9"/>
  </x:mergeCells>
  <x:conditionalFormatting sqref="G4:G7">
    <x:cfRule type="dataBar" priority="1">
      <x:dataBar>
        <x:cfvo type="min"/>
        <x:cfvo type="max"/>
        <x:color rgb="FF6B7280"/>
      </x:dataBar>
      <x:extLst>
        <x:ext xmlns:x14="http://schemas.microsoft.com/office/spreadsheetml/2009/9/main" uri="{B025F937-C7B1-47D3-B67F-A62EFF666E3E}">
          <x14:id>{14830240-3699-856C-3D68-963DE722AFC1}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4830240-3699-856C-3D68-963DE722AFC1}">
            <x14:dataBar gradient="1">
              <x14:cfvo type="min"/>
              <x14:cfvo type="max"/>
              <x14:fillColor rgb="FF6B7280"/>
            </x14:dataBar>
          </x14:cfRule>
          <xm:sqref>G4:G7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22" hidden="0" customWidth="1"/>
    <x:col min="4" max="4" width="48" hidden="0" customWidth="1"/>
    <x:col min="5" max="5" width="18" hidden="0" customWidth="1"/>
    <x:col min="6" max="6" width="11" hidden="0" customWidth="1"/>
    <x:col min="7" max="7" width="15" hidden="0" customWidth="1"/>
    <x:col min="8" max="8" width="13" hidden="0" customWidth="1"/>
    <x:col min="9" max="9" width="13" hidden="0" customWidth="1"/>
    <x:col min="10" max="10" width="11" hidden="0" customWidth="1"/>
    <x:col min="11" max="11" width="13" hidden="0" customWidth="1"/>
    <x:col min="12" max="12" width="28" hidden="0" customWidth="1"/>
    <x:col min="13" max="13" width="28" hidden="0" customWidth="1"/>
  </x:cols>
  <x:sheetData>
    <x:row r="1">
      <x:c r="A1" s="6" t="str">
        <x:v>Task ID</x:v>
      </x:c>
      <x:c r="B1" s="6" t="str">
        <x:v>Day</x:v>
      </x:c>
      <x:c r="C1" s="6" t="str">
        <x:v>Module</x:v>
      </x:c>
      <x:c r="D1" s="6" t="str">
        <x:v>Task Details</x:v>
      </x:c>
      <x:c r="E1" s="6" t="str">
        <x:v>Execution</x:v>
      </x:c>
      <x:c r="F1" s="6" t="str">
        <x:v>Priority</x:v>
      </x:c>
      <x:c r="G1" s="6" t="str">
        <x:v>Status</x:v>
      </x:c>
      <x:c r="H1" s="6" t="str">
        <x:v>Start Date</x:v>
      </x:c>
      <x:c r="I1" s="6" t="str">
        <x:v>Due Date</x:v>
      </x:c>
      <x:c r="J1" s="6" t="str">
        <x:v>Est. Hours</x:v>
      </x:c>
      <x:c r="K1" s="6" t="str">
        <x:v>Progress %</x:v>
      </x:c>
      <x:c r="L1" s="6" t="str">
        <x:v>Deliverable</x:v>
      </x:c>
      <x:c r="M1" s="6" t="str">
        <x:v>Notes</x:v>
      </x:c>
    </x:row>
    <x:row r="2">
      <x:c r="A2" s="23" t="str">
        <x:v>D1-01</x:v>
      </x:c>
      <x:c r="B2" s="23" t="str">
        <x:v>Day 1</x:v>
      </x:c>
      <x:c r="C2" s="23" t="str">
        <x:v>Project setup</x:v>
      </x:c>
      <x:c r="D2" s="23" t="str">
        <x:v>Create Electron/Next.js or desktop-web shell, database setup, environment config</x:v>
      </x:c>
      <x:c r="E2" s="23" t="str">
        <x:v>AI + Developer</x:v>
      </x:c>
      <x:c r="F2" s="23" t="str">
        <x:v>Critical</x:v>
      </x:c>
      <x:c r="G2" s="23" t="str">
        <x:v>Not Started</x:v>
      </x:c>
      <x:c r="H2" s="24" t="n">
        <x:v>46220</x:v>
      </x:c>
      <x:c r="I2" s="24" t="n">
        <x:v>46220</x:v>
      </x:c>
      <x:c r="J2" s="23" t="n">
        <x:v>2</x:v>
      </x:c>
      <x:c r="K2" s="25" t="n">
        <x:f>IF(G2="Completed",1,IF(G2="In Review",0.9,IF(G2="In Progress",0.5,IF(G2="Blocked",0.2,0))))</x:f>
        <x:v>0</x:v>
      </x:c>
      <x:c r="L2" s="23" t="str">
        <x:v>Running app shell</x:v>
      </x:c>
      <x:c r="M2" s="23"/>
    </x:row>
    <x:row r="3">
      <x:c r="A3" s="23" t="str">
        <x:v>D1-02</x:v>
      </x:c>
      <x:c r="B3" s="23" t="str">
        <x:v>Day 1</x:v>
      </x:c>
      <x:c r="C3" s="23" t="str">
        <x:v>Database schema</x:v>
      </x:c>
      <x:c r="D3" s="23" t="str">
        <x:v>Create core schema: users, products, customers, suppliers, sales, purchases, ledger, stock movements</x:v>
      </x:c>
      <x:c r="E3" s="23" t="str">
        <x:v>AI + Backend</x:v>
      </x:c>
      <x:c r="F3" s="23" t="str">
        <x:v>Critical</x:v>
      </x:c>
      <x:c r="G3" s="23" t="str">
        <x:v>Not Started</x:v>
      </x:c>
      <x:c r="H3" s="24" t="n">
        <x:v>46220</x:v>
      </x:c>
      <x:c r="I3" s="24" t="n">
        <x:v>46220</x:v>
      </x:c>
      <x:c r="J3" s="23" t="n">
        <x:v>3</x:v>
      </x:c>
      <x:c r="K3" s="25" t="n">
        <x:f>IF(G3="Completed",1,IF(G3="In Review",0.9,IF(G3="In Progress",0.5,IF(G3="Blocked",0.2,0))))</x:f>
        <x:v>0</x:v>
      </x:c>
      <x:c r="L3" s="23" t="str">
        <x:v>Core migrations</x:v>
      </x:c>
      <x:c r="M3" s="23"/>
    </x:row>
    <x:row r="4">
      <x:c r="A4" s="23" t="str">
        <x:v>D1-03</x:v>
      </x:c>
      <x:c r="B4" s="23" t="str">
        <x:v>Day 1</x:v>
      </x:c>
      <x:c r="C4" s="23" t="str">
        <x:v>Login and roles</x:v>
      </x:c>
      <x:c r="D4" s="23" t="str">
        <x:v>Owner, Admin and Cashier login with basic role checks</x:v>
      </x:c>
      <x:c r="E4" s="23" t="str">
        <x:v>AI + Full Stack</x:v>
      </x:c>
      <x:c r="F4" s="23" t="str">
        <x:v>High</x:v>
      </x:c>
      <x:c r="G4" s="23" t="str">
        <x:v>Not Started</x:v>
      </x:c>
      <x:c r="H4" s="24" t="n">
        <x:v>46220</x:v>
      </x:c>
      <x:c r="I4" s="24" t="n">
        <x:v>46220</x:v>
      </x:c>
      <x:c r="J4" s="23" t="n">
        <x:v>2</x:v>
      </x:c>
      <x:c r="K4" s="25" t="n">
        <x:f>IF(G4="Completed",1,IF(G4="In Review",0.9,IF(G4="In Progress",0.5,IF(G4="Blocked",0.2,0))))</x:f>
        <x:v>0</x:v>
      </x:c>
      <x:c r="L4" s="23" t="str">
        <x:v>Working authentication</x:v>
      </x:c>
      <x:c r="M4" s="23"/>
    </x:row>
    <x:row r="5">
      <x:c r="A5" s="23" t="str">
        <x:v>D1-04</x:v>
      </x:c>
      <x:c r="B5" s="23" t="str">
        <x:v>Day 1</x:v>
      </x:c>
      <x:c r="C5" s="23" t="str">
        <x:v>App navigation</x:v>
      </x:c>
      <x:c r="D5" s="23" t="str">
        <x:v>Create sidebar, header and routes for main modules</x:v>
      </x:c>
      <x:c r="E5" s="23" t="str">
        <x:v>AI + Frontend</x:v>
      </x:c>
      <x:c r="F5" s="23" t="str">
        <x:v>High</x:v>
      </x:c>
      <x:c r="G5" s="23" t="str">
        <x:v>Not Started</x:v>
      </x:c>
      <x:c r="H5" s="24" t="n">
        <x:v>46220</x:v>
      </x:c>
      <x:c r="I5" s="24" t="n">
        <x:v>46220</x:v>
      </x:c>
      <x:c r="J5" s="23" t="n">
        <x:v>2</x:v>
      </x:c>
      <x:c r="K5" s="25" t="n">
        <x:f>IF(G5="Completed",1,IF(G5="In Review",0.9,IF(G5="In Progress",0.5,IF(G5="Blocked",0.2,0))))</x:f>
        <x:v>0</x:v>
      </x:c>
      <x:c r="L5" s="23" t="str">
        <x:v>Usable navigation</x:v>
      </x:c>
      <x:c r="M5" s="23"/>
    </x:row>
    <x:row r="6">
      <x:c r="A6" s="23" t="str">
        <x:v>D1-05</x:v>
      </x:c>
      <x:c r="B6" s="23" t="str">
        <x:v>Day 1</x:v>
      </x:c>
      <x:c r="C6" s="23" t="str">
        <x:v>Product CRUD</x:v>
      </x:c>
      <x:c r="D6" s="23" t="str">
        <x:v>Product, category, brand, unit, barcode, prices and opening stock on one screen</x:v>
      </x:c>
      <x:c r="E6" s="23" t="str">
        <x:v>AI + Full Stack</x:v>
      </x:c>
      <x:c r="F6" s="23" t="str">
        <x:v>Critical</x:v>
      </x:c>
      <x:c r="G6" s="23" t="str">
        <x:v>Not Started</x:v>
      </x:c>
      <x:c r="H6" s="24" t="n">
        <x:v>46220</x:v>
      </x:c>
      <x:c r="I6" s="24" t="n">
        <x:v>46220</x:v>
      </x:c>
      <x:c r="J6" s="23" t="n">
        <x:v>4</x:v>
      </x:c>
      <x:c r="K6" s="25" t="n">
        <x:f>IF(G6="Completed",1,IF(G6="In Review",0.9,IF(G6="In Progress",0.5,IF(G6="Blocked",0.2,0))))</x:f>
        <x:v>0</x:v>
      </x:c>
      <x:c r="L6" s="23" t="str">
        <x:v>Product management</x:v>
      </x:c>
      <x:c r="M6" s="23"/>
    </x:row>
    <x:row r="7">
      <x:c r="A7" s="23" t="str">
        <x:v>D1-06</x:v>
      </x:c>
      <x:c r="B7" s="23" t="str">
        <x:v>Day 1</x:v>
      </x:c>
      <x:c r="C7" s="23" t="str">
        <x:v>Seed and test data</x:v>
      </x:c>
      <x:c r="D7" s="23" t="str">
        <x:v>Generate realistic oil and ghee sample products, customers and suppliers</x:v>
      </x:c>
      <x:c r="E7" s="23" t="str">
        <x:v>AI</x:v>
      </x:c>
      <x:c r="F7" s="23" t="str">
        <x:v>Medium</x:v>
      </x:c>
      <x:c r="G7" s="23" t="str">
        <x:v>Not Started</x:v>
      </x:c>
      <x:c r="H7" s="24" t="n">
        <x:v>46220</x:v>
      </x:c>
      <x:c r="I7" s="24" t="n">
        <x:v>46220</x:v>
      </x:c>
      <x:c r="J7" s="23" t="n">
        <x:v>1</x:v>
      </x:c>
      <x:c r="K7" s="25" t="n">
        <x:f>IF(G7="Completed",1,IF(G7="In Review",0.9,IF(G7="In Progress",0.5,IF(G7="Blocked",0.2,0))))</x:f>
        <x:v>0</x:v>
      </x:c>
      <x:c r="L7" s="23" t="str">
        <x:v>Demo dataset</x:v>
      </x:c>
      <x:c r="M7" s="23"/>
    </x:row>
    <x:row r="8">
      <x:c r="A8" s="23" t="str">
        <x:v>D2-01</x:v>
      </x:c>
      <x:c r="B8" s="23" t="str">
        <x:v>Day 2</x:v>
      </x:c>
      <x:c r="C8" s="23" t="str">
        <x:v>Packing conversion</x:v>
      </x:c>
      <x:c r="D8" s="23" t="str">
        <x:v>Support carton and piece conversion using smallest-unit stock storage</x:v>
      </x:c>
      <x:c r="E8" s="23" t="str">
        <x:v>AI + Backend</x:v>
      </x:c>
      <x:c r="F8" s="23" t="str">
        <x:v>Critical</x:v>
      </x:c>
      <x:c r="G8" s="23" t="str">
        <x:v>Not Started</x:v>
      </x:c>
      <x:c r="H8" s="24" t="n">
        <x:v>46221</x:v>
      </x:c>
      <x:c r="I8" s="24" t="n">
        <x:v>46221</x:v>
      </x:c>
      <x:c r="J8" s="23" t="n">
        <x:v>4</x:v>
      </x:c>
      <x:c r="K8" s="25" t="n">
        <x:f>IF(G8="Completed",1,IF(G8="In Review",0.9,IF(G8="In Progress",0.5,IF(G8="Blocked",0.2,0))))</x:f>
        <x:v>0</x:v>
      </x:c>
      <x:c r="L8" s="23" t="str">
        <x:v>Carton/piece stock works</x:v>
      </x:c>
      <x:c r="M8" s="23"/>
    </x:row>
    <x:row r="9">
      <x:c r="A9" s="23" t="str">
        <x:v>D2-02</x:v>
      </x:c>
      <x:c r="B9" s="23" t="str">
        <x:v>Day 2</x:v>
      </x:c>
      <x:c r="C9" s="23" t="str">
        <x:v>Stock engine</x:v>
      </x:c>
      <x:c r="D9" s="23" t="str">
        <x:v>Create stock movement ledger for opening, purchase, sale, return and adjustment</x:v>
      </x:c>
      <x:c r="E9" s="23" t="str">
        <x:v>AI + Backend</x:v>
      </x:c>
      <x:c r="F9" s="23" t="str">
        <x:v>Critical</x:v>
      </x:c>
      <x:c r="G9" s="23" t="str">
        <x:v>Not Started</x:v>
      </x:c>
      <x:c r="H9" s="24" t="n">
        <x:v>46221</x:v>
      </x:c>
      <x:c r="I9" s="24" t="n">
        <x:v>46221</x:v>
      </x:c>
      <x:c r="J9" s="23" t="n">
        <x:v>4</x:v>
      </x:c>
      <x:c r="K9" s="25" t="n">
        <x:f>IF(G9="Completed",1,IF(G9="In Review",0.9,IF(G9="In Progress",0.5,IF(G9="Blocked",0.2,0))))</x:f>
        <x:v>0</x:v>
      </x:c>
      <x:c r="L9" s="23" t="str">
        <x:v>Reliable stock ledger</x:v>
      </x:c>
      <x:c r="M9" s="23"/>
    </x:row>
    <x:row r="10">
      <x:c r="A10" s="23" t="str">
        <x:v>D2-03</x:v>
      </x:c>
      <x:c r="B10" s="23" t="str">
        <x:v>Day 2</x:v>
      </x:c>
      <x:c r="C10" s="23" t="str">
        <x:v>Supplier CRUD</x:v>
      </x:c>
      <x:c r="D10" s="23" t="str">
        <x:v>Supplier details, opening balance and outstanding balance</x:v>
      </x:c>
      <x:c r="E10" s="23" t="str">
        <x:v>AI + Full Stack</x:v>
      </x:c>
      <x:c r="F10" s="23" t="str">
        <x:v>High</x:v>
      </x:c>
      <x:c r="G10" s="23" t="str">
        <x:v>Not Started</x:v>
      </x:c>
      <x:c r="H10" s="24" t="n">
        <x:v>46221</x:v>
      </x:c>
      <x:c r="I10" s="24" t="n">
        <x:v>46221</x:v>
      </x:c>
      <x:c r="J10" s="23" t="n">
        <x:v>2</x:v>
      </x:c>
      <x:c r="K10" s="25" t="n">
        <x:f>IF(G10="Completed",1,IF(G10="In Review",0.9,IF(G10="In Progress",0.5,IF(G10="Blocked",0.2,0))))</x:f>
        <x:v>0</x:v>
      </x:c>
      <x:c r="L10" s="23" t="str">
        <x:v>Supplier module</x:v>
      </x:c>
      <x:c r="M10" s="23"/>
    </x:row>
    <x:row r="11">
      <x:c r="A11" s="23" t="str">
        <x:v>D2-04</x:v>
      </x:c>
      <x:c r="B11" s="23" t="str">
        <x:v>Day 2</x:v>
      </x:c>
      <x:c r="C11" s="23" t="str">
        <x:v>Purchase entry</x:v>
      </x:c>
      <x:c r="D11" s="23" t="str">
        <x:v>Cash/credit purchase, carton/piece quantity, rate and stock update</x:v>
      </x:c>
      <x:c r="E11" s="23" t="str">
        <x:v>AI + Full Stack</x:v>
      </x:c>
      <x:c r="F11" s="23" t="str">
        <x:v>Critical</x:v>
      </x:c>
      <x:c r="G11" s="23" t="str">
        <x:v>Not Started</x:v>
      </x:c>
      <x:c r="H11" s="24" t="n">
        <x:v>46221</x:v>
      </x:c>
      <x:c r="I11" s="24" t="n">
        <x:v>46221</x:v>
      </x:c>
      <x:c r="J11" s="23" t="n">
        <x:v>4</x:v>
      </x:c>
      <x:c r="K11" s="25" t="n">
        <x:f>IF(G11="Completed",1,IF(G11="In Review",0.9,IF(G11="In Progress",0.5,IF(G11="Blocked",0.2,0))))</x:f>
        <x:v>0</x:v>
      </x:c>
      <x:c r="L11" s="23" t="str">
        <x:v>Purchase workflow</x:v>
      </x:c>
      <x:c r="M11" s="23"/>
    </x:row>
    <x:row r="12">
      <x:c r="A12" s="23" t="str">
        <x:v>D2-05</x:v>
      </x:c>
      <x:c r="B12" s="23" t="str">
        <x:v>Day 2</x:v>
      </x:c>
      <x:c r="C12" s="23" t="str">
        <x:v>Batch and expiry basic</x:v>
      </x:c>
      <x:c r="D12" s="23" t="str">
        <x:v>Batch number, expiry date, near-expiry flag and expired-sale block</x:v>
      </x:c>
      <x:c r="E12" s="23" t="str">
        <x:v>AI + Backend</x:v>
      </x:c>
      <x:c r="F12" s="23" t="str">
        <x:v>High</x:v>
      </x:c>
      <x:c r="G12" s="23" t="str">
        <x:v>Not Started</x:v>
      </x:c>
      <x:c r="H12" s="24" t="n">
        <x:v>46221</x:v>
      </x:c>
      <x:c r="I12" s="24" t="n">
        <x:v>46221</x:v>
      </x:c>
      <x:c r="J12" s="23" t="n">
        <x:v>3</x:v>
      </x:c>
      <x:c r="K12" s="25" t="n">
        <x:f>IF(G12="Completed",1,IF(G12="In Review",0.9,IF(G12="In Progress",0.5,IF(G12="Blocked",0.2,0))))</x:f>
        <x:v>0</x:v>
      </x:c>
      <x:c r="L12" s="23" t="str">
        <x:v>Basic expiry control</x:v>
      </x:c>
      <x:c r="M12" s="23"/>
    </x:row>
    <x:row r="13">
      <x:c r="A13" s="23" t="str">
        <x:v>D2-06</x:v>
      </x:c>
      <x:c r="B13" s="23" t="str">
        <x:v>Day 2</x:v>
      </x:c>
      <x:c r="C13" s="23" t="str">
        <x:v>Customer CRUD</x:v>
      </x:c>
      <x:c r="D13" s="23" t="str">
        <x:v>Customer, business, phone, type, opening balance and credit limit</x:v>
      </x:c>
      <x:c r="E13" s="23" t="str">
        <x:v>AI + Full Stack</x:v>
      </x:c>
      <x:c r="F13" s="23" t="str">
        <x:v>High</x:v>
      </x:c>
      <x:c r="G13" s="23" t="str">
        <x:v>Not Started</x:v>
      </x:c>
      <x:c r="H13" s="24" t="n">
        <x:v>46221</x:v>
      </x:c>
      <x:c r="I13" s="24" t="n">
        <x:v>46221</x:v>
      </x:c>
      <x:c r="J13" s="23" t="n">
        <x:v>2</x:v>
      </x:c>
      <x:c r="K13" s="25" t="n">
        <x:f>IF(G13="Completed",1,IF(G13="In Review",0.9,IF(G13="In Progress",0.5,IF(G13="Blocked",0.2,0))))</x:f>
        <x:v>0</x:v>
      </x:c>
      <x:c r="L13" s="23" t="str">
        <x:v>Customer module</x:v>
      </x:c>
      <x:c r="M13" s="23"/>
    </x:row>
    <x:row r="14">
      <x:c r="A14" s="23" t="str">
        <x:v>D3-01</x:v>
      </x:c>
      <x:c r="B14" s="23" t="str">
        <x:v>Day 3</x:v>
      </x:c>
      <x:c r="C14" s="23" t="str">
        <x:v>POS screen</x:v>
      </x:c>
      <x:c r="D14" s="23" t="str">
        <x:v>Barcode/product search, cart, quantity, carton/piece and customer selection</x:v>
      </x:c>
      <x:c r="E14" s="23" t="str">
        <x:v>AI + Frontend</x:v>
      </x:c>
      <x:c r="F14" s="23" t="str">
        <x:v>Critical</x:v>
      </x:c>
      <x:c r="G14" s="23" t="str">
        <x:v>Not Started</x:v>
      </x:c>
      <x:c r="H14" s="24" t="n">
        <x:v>46222</x:v>
      </x:c>
      <x:c r="I14" s="24" t="n">
        <x:v>46222</x:v>
      </x:c>
      <x:c r="J14" s="23" t="n">
        <x:v>5</x:v>
      </x:c>
      <x:c r="K14" s="25" t="n">
        <x:f>IF(G14="Completed",1,IF(G14="In Review",0.9,IF(G14="In Progress",0.5,IF(G14="Blocked",0.2,0))))</x:f>
        <x:v>0</x:v>
      </x:c>
      <x:c r="L14" s="23" t="str">
        <x:v>Fast POS UI</x:v>
      </x:c>
      <x:c r="M14" s="23"/>
    </x:row>
    <x:row r="15">
      <x:c r="A15" s="23" t="str">
        <x:v>D3-02</x:v>
      </x:c>
      <x:c r="B15" s="23" t="str">
        <x:v>Day 3</x:v>
      </x:c>
      <x:c r="C15" s="23" t="str">
        <x:v>Sale posting</x:v>
      </x:c>
      <x:c r="D15" s="23" t="str">
        <x:v>Cash and credit sale with automatic stock deduction</x:v>
      </x:c>
      <x:c r="E15" s="23" t="str">
        <x:v>AI + Backend</x:v>
      </x:c>
      <x:c r="F15" s="23" t="str">
        <x:v>Critical</x:v>
      </x:c>
      <x:c r="G15" s="23" t="str">
        <x:v>Not Started</x:v>
      </x:c>
      <x:c r="H15" s="24" t="n">
        <x:v>46222</x:v>
      </x:c>
      <x:c r="I15" s="24" t="n">
        <x:v>46222</x:v>
      </x:c>
      <x:c r="J15" s="23" t="n">
        <x:v>4</x:v>
      </x:c>
      <x:c r="K15" s="25" t="n">
        <x:f>IF(G15="Completed",1,IF(G15="In Review",0.9,IF(G15="In Progress",0.5,IF(G15="Blocked",0.2,0))))</x:f>
        <x:v>0</x:v>
      </x:c>
      <x:c r="L15" s="23" t="str">
        <x:v>Sales workflow</x:v>
      </x:c>
      <x:c r="M15" s="23"/>
    </x:row>
    <x:row r="16">
      <x:c r="A16" s="23" t="str">
        <x:v>D3-03</x:v>
      </x:c>
      <x:c r="B16" s="23" t="str">
        <x:v>Day 3</x:v>
      </x:c>
      <x:c r="C16" s="23" t="str">
        <x:v>Khata ledger</x:v>
      </x:c>
      <x:c r="D16" s="23" t="str">
        <x:v>Customer debit/credit ledger, payment received and current balance</x:v>
      </x:c>
      <x:c r="E16" s="23" t="str">
        <x:v>AI + Full Stack</x:v>
      </x:c>
      <x:c r="F16" s="23" t="str">
        <x:v>Critical</x:v>
      </x:c>
      <x:c r="G16" s="23" t="str">
        <x:v>Not Started</x:v>
      </x:c>
      <x:c r="H16" s="24" t="n">
        <x:v>46222</x:v>
      </x:c>
      <x:c r="I16" s="24" t="n">
        <x:v>46222</x:v>
      </x:c>
      <x:c r="J16" s="23" t="n">
        <x:v>4</x:v>
      </x:c>
      <x:c r="K16" s="25" t="n">
        <x:f>IF(G16="Completed",1,IF(G16="In Review",0.9,IF(G16="In Progress",0.5,IF(G16="Blocked",0.2,0))))</x:f>
        <x:v>0</x:v>
      </x:c>
      <x:c r="L16" s="23" t="str">
        <x:v>Customer khata</x:v>
      </x:c>
      <x:c r="M16" s="23"/>
    </x:row>
    <x:row r="17">
      <x:c r="A17" s="23" t="str">
        <x:v>D3-04</x:v>
      </x:c>
      <x:c r="B17" s="23" t="str">
        <x:v>Day 3</x:v>
      </x:c>
      <x:c r="C17" s="23" t="str">
        <x:v>Supplier ledger</x:v>
      </x:c>
      <x:c r="D17" s="23" t="str">
        <x:v>Supplier payable ledger and payment entry</x:v>
      </x:c>
      <x:c r="E17" s="23" t="str">
        <x:v>AI + Full Stack</x:v>
      </x:c>
      <x:c r="F17" s="23" t="str">
        <x:v>High</x:v>
      </x:c>
      <x:c r="G17" s="23" t="str">
        <x:v>Not Started</x:v>
      </x:c>
      <x:c r="H17" s="24" t="n">
        <x:v>46222</x:v>
      </x:c>
      <x:c r="I17" s="24" t="n">
        <x:v>46222</x:v>
      </x:c>
      <x:c r="J17" s="23" t="n">
        <x:v>3</x:v>
      </x:c>
      <x:c r="K17" s="25" t="n">
        <x:f>IF(G17="Completed",1,IF(G17="In Review",0.9,IF(G17="In Progress",0.5,IF(G17="Blocked",0.2,0))))</x:f>
        <x:v>0</x:v>
      </x:c>
      <x:c r="L17" s="23" t="str">
        <x:v>Supplier khata</x:v>
      </x:c>
      <x:c r="M17" s="23"/>
    </x:row>
    <x:row r="18">
      <x:c r="A18" s="23" t="str">
        <x:v>D3-05</x:v>
      </x:c>
      <x:c r="B18" s="23" t="str">
        <x:v>Day 3</x:v>
      </x:c>
      <x:c r="C18" s="23" t="str">
        <x:v>Discount approval</x:v>
      </x:c>
      <x:c r="D18" s="23" t="str">
        <x:v>Cashier discount limit with owner PIN override</x:v>
      </x:c>
      <x:c r="E18" s="23" t="str">
        <x:v>AI + Full Stack</x:v>
      </x:c>
      <x:c r="F18" s="23" t="str">
        <x:v>Medium</x:v>
      </x:c>
      <x:c r="G18" s="23" t="str">
        <x:v>Not Started</x:v>
      </x:c>
      <x:c r="H18" s="24" t="n">
        <x:v>46222</x:v>
      </x:c>
      <x:c r="I18" s="24" t="n">
        <x:v>46222</x:v>
      </x:c>
      <x:c r="J18" s="23" t="n">
        <x:v>2</x:v>
      </x:c>
      <x:c r="K18" s="25" t="n">
        <x:f>IF(G18="Completed",1,IF(G18="In Review",0.9,IF(G18="In Progress",0.5,IF(G18="Blocked",0.2,0))))</x:f>
        <x:v>0</x:v>
      </x:c>
      <x:c r="L18" s="23" t="str">
        <x:v>Discount control</x:v>
      </x:c>
      <x:c r="M18" s="23"/>
    </x:row>
    <x:row r="19">
      <x:c r="A19" s="23" t="str">
        <x:v>D3-06</x:v>
      </x:c>
      <x:c r="B19" s="23" t="str">
        <x:v>Day 3</x:v>
      </x:c>
      <x:c r="C19" s="23" t="str">
        <x:v>Invoice print</x:v>
      </x:c>
      <x:c r="D19" s="23" t="str">
        <x:v>Basic thermal invoice and browser/PDF print</x:v>
      </x:c>
      <x:c r="E19" s="23" t="str">
        <x:v>AI + Frontend</x:v>
      </x:c>
      <x:c r="F19" s="23" t="str">
        <x:v>High</x:v>
      </x:c>
      <x:c r="G19" s="23" t="str">
        <x:v>Not Started</x:v>
      </x:c>
      <x:c r="H19" s="24" t="n">
        <x:v>46222</x:v>
      </x:c>
      <x:c r="I19" s="24" t="n">
        <x:v>46222</x:v>
      </x:c>
      <x:c r="J19" s="23" t="n">
        <x:v>3</x:v>
      </x:c>
      <x:c r="K19" s="25" t="n">
        <x:f>IF(G19="Completed",1,IF(G19="In Review",0.9,IF(G19="In Progress",0.5,IF(G19="Blocked",0.2,0))))</x:f>
        <x:v>0</x:v>
      </x:c>
      <x:c r="L19" s="23" t="str">
        <x:v>Printable invoice</x:v>
      </x:c>
      <x:c r="M19" s="23"/>
    </x:row>
    <x:row r="20">
      <x:c r="A20" s="23" t="str">
        <x:v>D4-01</x:v>
      </x:c>
      <x:c r="B20" s="23" t="str">
        <x:v>Day 4</x:v>
      </x:c>
      <x:c r="C20" s="23" t="str">
        <x:v>Sales return</x:v>
      </x:c>
      <x:c r="D20" s="23" t="str">
        <x:v>Partial/full sales return with stock and customer balance adjustment</x:v>
      </x:c>
      <x:c r="E20" s="23" t="str">
        <x:v>AI + Full Stack</x:v>
      </x:c>
      <x:c r="F20" s="23" t="str">
        <x:v>High</x:v>
      </x:c>
      <x:c r="G20" s="23" t="str">
        <x:v>Not Started</x:v>
      </x:c>
      <x:c r="H20" s="24" t="n">
        <x:v>46223</x:v>
      </x:c>
      <x:c r="I20" s="24" t="n">
        <x:v>46223</x:v>
      </x:c>
      <x:c r="J20" s="23" t="n">
        <x:v>3</x:v>
      </x:c>
      <x:c r="K20" s="25" t="n">
        <x:f>IF(G20="Completed",1,IF(G20="In Review",0.9,IF(G20="In Progress",0.5,IF(G20="Blocked",0.2,0))))</x:f>
        <x:v>0</x:v>
      </x:c>
      <x:c r="L20" s="23" t="str">
        <x:v>Sales return flow</x:v>
      </x:c>
      <x:c r="M20" s="23"/>
    </x:row>
    <x:row r="21">
      <x:c r="A21" s="23" t="str">
        <x:v>D4-02</x:v>
      </x:c>
      <x:c r="B21" s="23" t="str">
        <x:v>Day 4</x:v>
      </x:c>
      <x:c r="C21" s="23" t="str">
        <x:v>Damaged/expired stock</x:v>
      </x:c>
      <x:c r="D21" s="23" t="str">
        <x:v>Simple stock loss entry with reason and quantity</x:v>
      </x:c>
      <x:c r="E21" s="23" t="str">
        <x:v>AI + Full Stack</x:v>
      </x:c>
      <x:c r="F21" s="23" t="str">
        <x:v>High</x:v>
      </x:c>
      <x:c r="G21" s="23" t="str">
        <x:v>Not Started</x:v>
      </x:c>
      <x:c r="H21" s="24" t="n">
        <x:v>46223</x:v>
      </x:c>
      <x:c r="I21" s="24" t="n">
        <x:v>46223</x:v>
      </x:c>
      <x:c r="J21" s="23" t="n">
        <x:v>2</x:v>
      </x:c>
      <x:c r="K21" s="25" t="n">
        <x:f>IF(G21="Completed",1,IF(G21="In Review",0.9,IF(G21="In Progress",0.5,IF(G21="Blocked",0.2,0))))</x:f>
        <x:v>0</x:v>
      </x:c>
      <x:c r="L21" s="23" t="str">
        <x:v>Loss stock entry</x:v>
      </x:c>
      <x:c r="M21" s="23"/>
    </x:row>
    <x:row r="22">
      <x:c r="A22" s="23" t="str">
        <x:v>D4-03</x:v>
      </x:c>
      <x:c r="B22" s="23" t="str">
        <x:v>Day 4</x:v>
      </x:c>
      <x:c r="C22" s="23" t="str">
        <x:v>Cashbook basic</x:v>
      </x:c>
      <x:c r="D22" s="23" t="str">
        <x:v>Opening cash, expenses, recovery, supplier payment and closing cash</x:v>
      </x:c>
      <x:c r="E22" s="23" t="str">
        <x:v>AI + Full Stack</x:v>
      </x:c>
      <x:c r="F22" s="23" t="str">
        <x:v>Critical</x:v>
      </x:c>
      <x:c r="G22" s="23" t="str">
        <x:v>Not Started</x:v>
      </x:c>
      <x:c r="H22" s="24" t="n">
        <x:v>46223</x:v>
      </x:c>
      <x:c r="I22" s="24" t="n">
        <x:v>46223</x:v>
      </x:c>
      <x:c r="J22" s="23" t="n">
        <x:v>4</x:v>
      </x:c>
      <x:c r="K22" s="25" t="n">
        <x:f>IF(G22="Completed",1,IF(G22="In Review",0.9,IF(G22="In Progress",0.5,IF(G22="Blocked",0.2,0))))</x:f>
        <x:v>0</x:v>
      </x:c>
      <x:c r="L22" s="23" t="str">
        <x:v>Daily cashbook</x:v>
      </x:c>
      <x:c r="M22" s="23"/>
    </x:row>
    <x:row r="23">
      <x:c r="A23" s="23" t="str">
        <x:v>D4-04</x:v>
      </x:c>
      <x:c r="B23" s="23" t="str">
        <x:v>Day 4</x:v>
      </x:c>
      <x:c r="C23" s="23" t="str">
        <x:v>Essential reports</x:v>
      </x:c>
      <x:c r="D23" s="23" t="str">
        <x:v>Daily sales, purchases, stock, customer ledger, supplier ledger, expenses and cashbook</x:v>
      </x:c>
      <x:c r="E23" s="23" t="str">
        <x:v>AI + Full Stack</x:v>
      </x:c>
      <x:c r="F23" s="23" t="str">
        <x:v>Critical</x:v>
      </x:c>
      <x:c r="G23" s="23" t="str">
        <x:v>Not Started</x:v>
      </x:c>
      <x:c r="H23" s="24" t="n">
        <x:v>46223</x:v>
      </x:c>
      <x:c r="I23" s="24" t="n">
        <x:v>46223</x:v>
      </x:c>
      <x:c r="J23" s="23" t="n">
        <x:v>5</x:v>
      </x:c>
      <x:c r="K23" s="25" t="n">
        <x:f>IF(G23="Completed",1,IF(G23="In Review",0.9,IF(G23="In Progress",0.5,IF(G23="Blocked",0.2,0))))</x:f>
        <x:v>0</x:v>
      </x:c>
      <x:c r="L23" s="23" t="str">
        <x:v>Core reports</x:v>
      </x:c>
      <x:c r="M23" s="23"/>
    </x:row>
    <x:row r="24">
      <x:c r="A24" s="23" t="str">
        <x:v>D4-05</x:v>
      </x:c>
      <x:c r="B24" s="23" t="str">
        <x:v>Day 4</x:v>
      </x:c>
      <x:c r="C24" s="23" t="str">
        <x:v>Dashboard alerts</x:v>
      </x:c>
      <x:c r="D24" s="23" t="str">
        <x:v>Invoice count, low stock, expiry, pending customer and supplier balances</x:v>
      </x:c>
      <x:c r="E24" s="23" t="str">
        <x:v>AI + Frontend</x:v>
      </x:c>
      <x:c r="F24" s="23" t="str">
        <x:v>Medium</x:v>
      </x:c>
      <x:c r="G24" s="23" t="str">
        <x:v>Not Started</x:v>
      </x:c>
      <x:c r="H24" s="24" t="n">
        <x:v>46223</x:v>
      </x:c>
      <x:c r="I24" s="24" t="n">
        <x:v>46223</x:v>
      </x:c>
      <x:c r="J24" s="23" t="n">
        <x:v>2</x:v>
      </x:c>
      <x:c r="K24" s="25" t="n">
        <x:f>IF(G24="Completed",1,IF(G24="In Review",0.9,IF(G24="In Progress",0.5,IF(G24="Blocked",0.2,0))))</x:f>
        <x:v>0</x:v>
      </x:c>
      <x:c r="L24" s="23" t="str">
        <x:v>Operational dashboard</x:v>
      </x:c>
      <x:c r="M24" s="23"/>
    </x:row>
    <x:row r="25">
      <x:c r="A25" s="23" t="str">
        <x:v>D4-06</x:v>
      </x:c>
      <x:c r="B25" s="23" t="str">
        <x:v>Day 4</x:v>
      </x:c>
      <x:c r="C25" s="23" t="str">
        <x:v>Testing and fixes</x:v>
      </x:c>
      <x:c r="D25" s="23" t="str">
        <x:v>Run complete purchase-sale-return-khata workflow and fix blockers</x:v>
      </x:c>
      <x:c r="E25" s="23" t="str">
        <x:v>Developer + AI</x:v>
      </x:c>
      <x:c r="F25" s="23" t="str">
        <x:v>Critical</x:v>
      </x:c>
      <x:c r="G25" s="23" t="str">
        <x:v>Not Started</x:v>
      </x:c>
      <x:c r="H25" s="24" t="n">
        <x:v>46223</x:v>
      </x:c>
      <x:c r="I25" s="24" t="n">
        <x:v>46223</x:v>
      </x:c>
      <x:c r="J25" s="23" t="n">
        <x:v>4</x:v>
      </x:c>
      <x:c r="K25" s="25" t="n">
        <x:f>IF(G25="Completed",1,IF(G25="In Review",0.9,IF(G25="In Progress",0.5,IF(G25="Blocked",0.2,0))))</x:f>
        <x:v>0</x:v>
      </x:c>
      <x:c r="L25" s="23" t="str">
        <x:v>Usable MVP build</x:v>
      </x:c>
      <x:c r="M25" s="23"/>
    </x:row>
    <x:row r="26">
      <x:c r="A26" s="23" t="str">
        <x:v>D4-07</x:v>
      </x:c>
      <x:c r="B26" s="23" t="str">
        <x:v>Day 4</x:v>
      </x:c>
      <x:c r="C26" s="23" t="str">
        <x:v>Demo packaging</x:v>
      </x:c>
      <x:c r="D26" s="23" t="str">
        <x:v>Create demo login, sample data, backup file and installation notes</x:v>
      </x:c>
      <x:c r="E26" s="23" t="str">
        <x:v>AI + Developer</x:v>
      </x:c>
      <x:c r="F26" s="23" t="str">
        <x:v>High</x:v>
      </x:c>
      <x:c r="G26" s="23" t="str">
        <x:v>Not Started</x:v>
      </x:c>
      <x:c r="H26" s="24" t="n">
        <x:v>46223</x:v>
      </x:c>
      <x:c r="I26" s="24" t="n">
        <x:v>46223</x:v>
      </x:c>
      <x:c r="J26" s="23" t="n">
        <x:v>2</x:v>
      </x:c>
      <x:c r="K26" s="25" t="n">
        <x:f>IF(G26="Completed",1,IF(G26="In Review",0.9,IF(G26="In Progress",0.5,IF(G26="Blocked",0.2,0))))</x:f>
        <x:v>0</x:v>
      </x:c>
      <x:c r="L26" s="23" t="str">
        <x:v>Demo-ready MVP</x:v>
      </x:c>
      <x:c r="M26" s="23"/>
    </x:row>
  </x:sheetData>
  <x:conditionalFormatting sqref="G2:G26">
    <x:cfRule type="expression" dxfId="0" priority="1">
      <x:formula>$G2="Completed"</x:formula>
    </x:cfRule>
    <x:cfRule type="expression" dxfId="1" priority="2">
      <x:formula>$G2="Blocked"</x:formula>
    </x:cfRule>
  </x:conditionalFormatting>
  <x:conditionalFormatting sqref="K2:K26">
    <x:cfRule type="dataBar" priority="3">
      <x:dataBar>
        <x:cfvo type="min"/>
        <x:cfvo type="max"/>
        <x:color rgb="FF6B7280"/>
      </x:dataBar>
      <x:extLst>
        <x:ext xmlns:x14="http://schemas.microsoft.com/office/spreadsheetml/2009/9/main" uri="{B025F937-C7B1-47D3-B67F-A62EFF666E3E}">
          <x14:id>{6246CE42-D384-54C2-C4D6-BDBDBAD6AB48}</x14:id>
        </x:ext>
      </x:extLst>
    </x:cfRule>
  </x:conditionalFormatting>
  <x:dataValidations count="2">
    <x:dataValidation type="list" sqref="G2:G100">
      <x:formula1>"Not Started,In Progress,Blocked,In Review,Completed,On Hold,Cancelled"</x:formula1>
    </x:dataValidation>
    <x:dataValidation type="list" sqref="F2:F100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b01b31e9b9432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6246CE42-D384-54C2-C4D6-BDBDBAD6AB48}">
            <x14:dataBar gradient="1">
              <x14:cfvo type="min"/>
              <x14:cfvo type="max"/>
              <x14:fillColor rgb="FF6B7280"/>
            </x14:dataBar>
          </x14:cfRule>
          <xm:sqref>K2:K26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55" hidden="0" customWidth="1"/>
  </x:cols>
  <x:sheetData>
    <x:row r="1">
      <x:c r="A1" s="6" t="str">
        <x:v>Module</x:v>
      </x:c>
      <x:c r="B1" s="6" t="str">
        <x:v>Included in 4-Day MVP</x:v>
      </x:c>
      <x:c r="C1" s="6" t="str">
        <x:v>Notes</x:v>
      </x:c>
    </x:row>
    <x:row r="2">
      <x:c r="A2" s="23" t="str">
        <x:v>Login &amp; Roles</x:v>
      </x:c>
      <x:c r="B2" s="23" t="str">
        <x:v>Yes</x:v>
      </x:c>
      <x:c r="C2" s="23" t="str">
        <x:v>Owner, Admin, Cashier; basic permissions only</x:v>
      </x:c>
    </x:row>
    <x:row r="3">
      <x:c r="A3" s="23" t="str">
        <x:v>Dashboard</x:v>
      </x:c>
      <x:c r="B3" s="23" t="str">
        <x:v>Yes</x:v>
      </x:c>
      <x:c r="C3" s="23" t="str">
        <x:v>Operational alerts only; no profit/cash totals</x:v>
      </x:c>
    </x:row>
    <x:row r="4">
      <x:c r="A4" s="23" t="str">
        <x:v>Products</x:v>
      </x:c>
      <x:c r="B4" s="23" t="str">
        <x:v>Yes</x:v>
      </x:c>
      <x:c r="C4" s="23" t="str">
        <x:v>CRUD, barcode, retail/wholesale price, opening stock</x:v>
      </x:c>
    </x:row>
    <x:row r="5">
      <x:c r="A5" s="23" t="str">
        <x:v>Carton &amp; Piece</x:v>
      </x:c>
      <x:c r="B5" s="23" t="str">
        <x:v>Yes</x:v>
      </x:c>
      <x:c r="C5" s="23" t="str">
        <x:v>One packing level per product; smallest-unit inventory</x:v>
      </x:c>
    </x:row>
    <x:row r="6">
      <x:c r="A6" s="23" t="str">
        <x:v>Inventory</x:v>
      </x:c>
      <x:c r="B6" s="23" t="str">
        <x:v>Yes</x:v>
      </x:c>
      <x:c r="C6" s="23" t="str">
        <x:v>Stock movement, low stock, adjustments</x:v>
      </x:c>
    </x:row>
    <x:row r="7">
      <x:c r="A7" s="23" t="str">
        <x:v>Batch &amp; Expiry</x:v>
      </x:c>
      <x:c r="B7" s="23" t="str">
        <x:v>Basic</x:v>
      </x:c>
      <x:c r="C7" s="23" t="str">
        <x:v>Batch and expiry entry; simple near-expiry and sale block</x:v>
      </x:c>
    </x:row>
    <x:row r="8">
      <x:c r="A8" s="23" t="str">
        <x:v>Purchases</x:v>
      </x:c>
      <x:c r="B8" s="23" t="str">
        <x:v>Yes</x:v>
      </x:c>
      <x:c r="C8" s="23" t="str">
        <x:v>Cash/credit purchase and stock update</x:v>
      </x:c>
    </x:row>
    <x:row r="9">
      <x:c r="A9" s="23" t="str">
        <x:v>Suppliers</x:v>
      </x:c>
      <x:c r="B9" s="23" t="str">
        <x:v>Yes</x:v>
      </x:c>
      <x:c r="C9" s="23" t="str">
        <x:v>CRUD, balance and ledger</x:v>
      </x:c>
    </x:row>
    <x:row r="10">
      <x:c r="A10" s="23" t="str">
        <x:v>POS</x:v>
      </x:c>
      <x:c r="B10" s="23" t="str">
        <x:v>Yes</x:v>
      </x:c>
      <x:c r="C10" s="23" t="str">
        <x:v>Cash/credit sale, barcode search, carton/piece</x:v>
      </x:c>
    </x:row>
    <x:row r="11">
      <x:c r="A11" s="23" t="str">
        <x:v>Customers &amp; Khata</x:v>
      </x:c>
      <x:c r="B11" s="23" t="str">
        <x:v>Yes</x:v>
      </x:c>
      <x:c r="C11" s="23" t="str">
        <x:v>Credit sale, payment, ledger, credit limit warning</x:v>
      </x:c>
    </x:row>
    <x:row r="12">
      <x:c r="A12" s="23" t="str">
        <x:v>Returns</x:v>
      </x:c>
      <x:c r="B12" s="23" t="str">
        <x:v>Basic</x:v>
      </x:c>
      <x:c r="C12" s="23" t="str">
        <x:v>Sales return only in core MVP</x:v>
      </x:c>
    </x:row>
    <x:row r="13">
      <x:c r="A13" s="23" t="str">
        <x:v>Damaged/Expired Stock</x:v>
      </x:c>
      <x:c r="B13" s="23" t="str">
        <x:v>Basic</x:v>
      </x:c>
      <x:c r="C13" s="23" t="str">
        <x:v>Simple adjustment with reason</x:v>
      </x:c>
    </x:row>
    <x:row r="14">
      <x:c r="A14" s="23" t="str">
        <x:v>Cashbook</x:v>
      </x:c>
      <x:c r="B14" s="23" t="str">
        <x:v>Basic</x:v>
      </x:c>
      <x:c r="C14" s="23" t="str">
        <x:v>Opening, inflow, outflow and closing</x:v>
      </x:c>
    </x:row>
    <x:row r="15">
      <x:c r="A15" s="23" t="str">
        <x:v>Reports</x:v>
      </x:c>
      <x:c r="B15" s="23" t="str">
        <x:v>Basic</x:v>
      </x:c>
      <x:c r="C15" s="23" t="str">
        <x:v>Daily sales, purchase, stock, ledgers, expenses, cashbook</x:v>
      </x:c>
    </x:row>
    <x:row r="16">
      <x:c r="A16" s="23" t="str">
        <x:v>Printing</x:v>
      </x:c>
      <x:c r="B16" s="23" t="str">
        <x:v>Basic</x:v>
      </x:c>
      <x:c r="C16" s="23" t="str">
        <x:v>Thermal/browser/PDF invoice</x:v>
      </x:c>
    </x:row>
    <x:row r="17">
      <x:c r="A17" s="23" t="str">
        <x:v>FBR</x:v>
      </x:c>
      <x:c r="B17" s="23" t="str">
        <x:v>No</x:v>
      </x:c>
      <x:c r="C17" s="23" t="str">
        <x:v>Architecture placeholder only; integration after MVP</x:v>
      </x:c>
    </x:row>
    <x:row r="18">
      <x:c r="A18" s="23" t="str">
        <x:v>Cloud Sync</x:v>
      </x:c>
      <x:c r="B18" s="23" t="str">
        <x:v>No</x:v>
      </x:c>
      <x:c r="C18" s="23" t="str">
        <x:v>Local backup first; sync added after pilot</x:v>
      </x:c>
    </x:row>
    <x:row r="19">
      <x:c r="A19" s="23" t="str">
        <x:v>Full Accounting</x:v>
      </x:c>
      <x:c r="B19" s="23" t="str">
        <x:v>No</x:v>
      </x:c>
      <x:c r="C19" s="23" t="str">
        <x:v>P&amp;L, trial balance and balance sheet later</x:v>
      </x:c>
    </x:row>
  </x:sheetData>
  <x:pageMargins left="0.7" right="0.7" top="0.75" bottom="0.75" header="0.3" footer="0.3"/>
  <x:tableParts count="1">
    <x:tablePart xmlns:r="http://schemas.openxmlformats.org/officeDocument/2006/relationships" r:id="Rad7e804b83174f3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28" hidden="0" customWidth="1"/>
  </x:cols>
  <x:sheetData>
    <x:row r="1">
      <x:c r="A1" s="6" t="str">
        <x:v>Priority</x:v>
      </x:c>
      <x:c r="B1" s="6" t="str">
        <x:v>Feature</x:v>
      </x:c>
      <x:c r="C1" s="6" t="str">
        <x:v>Recommended Timing</x:v>
      </x:c>
    </x:row>
    <x:row r="2">
      <x:c r="A2" s="23" t="str">
        <x:v>1</x:v>
      </x:c>
      <x:c r="B2" s="23" t="str">
        <x:v>Pilot feedback and bug fixes</x:v>
      </x:c>
      <x:c r="C2" s="23" t="str">
        <x:v>Immediately after 4-day MVP</x:v>
      </x:c>
    </x:row>
    <x:row r="3">
      <x:c r="A3" s="23" t="str">
        <x:v>2</x:v>
      </x:c>
      <x:c r="B3" s="23" t="str">
        <x:v>Purchase return and exchange flows</x:v>
      </x:c>
      <x:c r="C3" s="23" t="str">
        <x:v>Week 2</x:v>
      </x:c>
    </x:row>
    <x:row r="4">
      <x:c r="A4" s="23" t="str">
        <x:v>3</x:v>
      </x:c>
      <x:c r="B4" s="23" t="str">
        <x:v>Advanced pricing and customer-specific rates</x:v>
      </x:c>
      <x:c r="C4" s="23" t="str">
        <x:v>Week 2</x:v>
      </x:c>
    </x:row>
    <x:row r="5">
      <x:c r="A5" s="23" t="str">
        <x:v>4</x:v>
      </x:c>
      <x:c r="B5" s="23" t="str">
        <x:v>Cloud backup and multi-device sync</x:v>
      </x:c>
      <x:c r="C5" s="23" t="str">
        <x:v>Week 2-3</x:v>
      </x:c>
    </x:row>
    <x:row r="6">
      <x:c r="A6" s="23" t="str">
        <x:v>5</x:v>
      </x:c>
      <x:c r="B6" s="23" t="str">
        <x:v>FBR sandbox and production integration</x:v>
      </x:c>
      <x:c r="C6" s="23" t="str">
        <x:v>After current FBR/integrator requirements are confirmed</x:v>
      </x:c>
    </x:row>
    <x:row r="7">
      <x:c r="A7" s="23" t="str">
        <x:v>6</x:v>
      </x:c>
      <x:c r="B7" s="23" t="str">
        <x:v>Advanced reports and profitability</x:v>
      </x:c>
      <x:c r="C7" s="23" t="str">
        <x:v>Week 3</x:v>
      </x:c>
    </x:row>
    <x:row r="8">
      <x:c r="A8" s="23" t="str">
        <x:v>7</x:v>
      </x:c>
      <x:c r="B8" s="23" t="str">
        <x:v>Full accounting and journal entries</x:v>
      </x:c>
      <x:c r="C8" s="23" t="str">
        <x:v>Later paid version</x:v>
      </x:c>
    </x:row>
    <x:row r="9">
      <x:c r="A9" s="23" t="str">
        <x:v>8</x:v>
      </x:c>
      <x:c r="B9" s="23" t="str">
        <x:v>Multi-branch and godown transfer</x:v>
      </x:c>
      <x:c r="C9" s="23" t="str">
        <x:v>Later paid version</x:v>
      </x:c>
    </x:row>
  </x:sheetData>
  <x:pageMargins left="0.7" right="0.7" top="0.75" bottom="0.75" header="0.3" footer="0.3"/>
  <x:tableParts count="1">
    <x:tablePart xmlns:r="http://schemas.openxmlformats.org/officeDocument/2006/relationships" r:id="R6a52567395ec4834"/>
  </x:tableParts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6" t="str">
        <x:v>Status</x:v>
      </x:c>
      <x:c r="B1" s="6" t="str">
        <x:v>Priority</x:v>
      </x:c>
      <x:c r="C1" s="6" t="str">
        <x:v>Execution</x:v>
      </x:c>
    </x:row>
    <x:row r="2">
      <x:c r="A2" t="str">
        <x:v>Not Started</x:v>
      </x:c>
      <x:c r="B2" t="str">
        <x:v>Critical</x:v>
      </x:c>
      <x:c r="C2" t="str">
        <x:v>AI</x:v>
      </x:c>
    </x:row>
    <x:row r="3">
      <x:c r="A3" t="str">
        <x:v>In Progress</x:v>
      </x:c>
      <x:c r="B3" t="str">
        <x:v>High</x:v>
      </x:c>
      <x:c r="C3" t="str">
        <x:v>Developer</x:v>
      </x:c>
    </x:row>
    <x:row r="4">
      <x:c r="A4" t="str">
        <x:v>Blocked</x:v>
      </x:c>
      <x:c r="B4" t="str">
        <x:v>Medium</x:v>
      </x:c>
      <x:c r="C4" t="str">
        <x:v>AI + Developer</x:v>
      </x:c>
    </x:row>
    <x:row r="5">
      <x:c r="A5" t="str">
        <x:v>In Review</x:v>
      </x:c>
      <x:c r="B5" t="str">
        <x:v>Low</x:v>
      </x:c>
      <x:c r="C5" t="str">
        <x:v>AI + Backend</x:v>
      </x:c>
    </x:row>
    <x:row r="6">
      <x:c r="A6" t="str">
        <x:v>Completed</x:v>
      </x:c>
      <x:c r="B6" t="str"/>
      <x:c r="C6" t="str">
        <x:v>AI + Frontend</x:v>
      </x:c>
    </x:row>
    <x:row r="7">
      <x:c r="A7" t="str">
        <x:v>On Hold</x:v>
      </x:c>
      <x:c r="B7" t="str"/>
      <x:c r="C7" t="str">
        <x:v>AI + Full Stack</x:v>
      </x:c>
    </x:row>
    <x:row r="8">
      <x:c r="A8" t="str">
        <x:v>Cancelled</x:v>
      </x:c>
      <x:c r="B8" t="str"/>
      <x:c r="C8" t="str">
        <x:v>Developer + AI</x:v>
      </x:c>
    </x:row>
  </x:sheetData>
  <x:pageMargins left="0.7" right="0.7" top="0.75" bottom="0.75" header="0.3" footer="0.3"/>
</x:worksheet>
</file>